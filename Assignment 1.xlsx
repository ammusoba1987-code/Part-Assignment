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activeTab="2"/>
  </bookViews>
  <sheets>
    <sheet name="SUM COUNT AVG" sheetId="1" r:id="rId1"/>
    <sheet name="MIN&amp;MAX" sheetId="2" r:id="rId2"/>
    <sheet name="LOGICAL FUN" sheetId="3" r:id="rId3"/>
    <sheet name="CONDITIONAL FUN" sheetId="4" r:id="rId4"/>
    <sheet name="TXT FORMAT" sheetId="5" r:id="rId5"/>
  </sheets>
  <calcPr calcId="124519"/>
</workbook>
</file>

<file path=xl/calcChain.xml><?xml version="1.0" encoding="utf-8"?>
<calcChain xmlns="http://schemas.openxmlformats.org/spreadsheetml/2006/main">
  <c r="H2" i="5"/>
  <c r="I35"/>
  <c r="H35"/>
  <c r="G35"/>
  <c r="I34"/>
  <c r="H34"/>
  <c r="G34"/>
  <c r="I33"/>
  <c r="H33"/>
  <c r="G33"/>
  <c r="I32"/>
  <c r="H32"/>
  <c r="G32"/>
  <c r="I31"/>
  <c r="H31"/>
  <c r="G31"/>
  <c r="I30"/>
  <c r="H30"/>
  <c r="G30"/>
  <c r="I29"/>
  <c r="H29"/>
  <c r="G29"/>
  <c r="I28"/>
  <c r="H28"/>
  <c r="G28"/>
  <c r="I27"/>
  <c r="H27"/>
  <c r="G27"/>
  <c r="I26"/>
  <c r="H26"/>
  <c r="G26"/>
  <c r="I25"/>
  <c r="H25"/>
  <c r="G25"/>
  <c r="I24"/>
  <c r="H24"/>
  <c r="G24"/>
  <c r="I23"/>
  <c r="H23"/>
  <c r="G23"/>
  <c r="I22"/>
  <c r="H22"/>
  <c r="G22"/>
  <c r="I21"/>
  <c r="H21"/>
  <c r="G21"/>
  <c r="I20"/>
  <c r="H20"/>
  <c r="G20"/>
  <c r="I19"/>
  <c r="H19"/>
  <c r="G19"/>
  <c r="I18"/>
  <c r="H18"/>
  <c r="G18"/>
  <c r="I17"/>
  <c r="H17"/>
  <c r="G17"/>
  <c r="I16"/>
  <c r="H16"/>
  <c r="G16"/>
  <c r="I15"/>
  <c r="H15"/>
  <c r="G15"/>
  <c r="I14"/>
  <c r="H14"/>
  <c r="G14"/>
  <c r="I13"/>
  <c r="H13"/>
  <c r="G13"/>
  <c r="I12"/>
  <c r="H12"/>
  <c r="G12"/>
  <c r="I11"/>
  <c r="H11"/>
  <c r="G11"/>
  <c r="I10"/>
  <c r="H10"/>
  <c r="G10"/>
  <c r="I9"/>
  <c r="H9"/>
  <c r="G9"/>
  <c r="I8"/>
  <c r="H8"/>
  <c r="G8"/>
  <c r="I7"/>
  <c r="H7"/>
  <c r="G7"/>
  <c r="I6"/>
  <c r="H6"/>
  <c r="G6"/>
  <c r="I5"/>
  <c r="H5"/>
  <c r="G5"/>
  <c r="I4"/>
  <c r="H4"/>
  <c r="G4"/>
  <c r="I3"/>
  <c r="H3"/>
  <c r="G3"/>
  <c r="I2"/>
  <c r="G2"/>
  <c r="I3" i="4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2"/>
  <c r="A43"/>
  <c r="G3" i="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2"/>
  <c r="B38" i="2"/>
  <c r="B41"/>
</calcChain>
</file>

<file path=xl/sharedStrings.xml><?xml version="1.0" encoding="utf-8"?>
<sst xmlns="http://schemas.openxmlformats.org/spreadsheetml/2006/main" count="742" uniqueCount="122">
  <si>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</si>
  <si>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</si>
  <si>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</si>
  <si>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</si>
  <si>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</si>
  <si>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</si>
  <si>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</si>
  <si>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</si>
  <si>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</si>
  <si>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</si>
  <si>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</si>
  <si>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</si>
  <si>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</si>
  <si>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</si>
  <si>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</si>
  <si>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</si>
  <si>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</si>
  <si>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</si>
  <si>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</si>
  <si>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</si>
  <si>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</si>
  <si>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</si>
  <si>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</si>
  <si>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</si>
  <si>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</si>
  <si>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</si>
  <si>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</si>
  <si>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</si>
  <si>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</si>
  <si>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</si>
  <si>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</si>
  <si>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</si>
  <si>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</si>
  <si>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</si>
  <si>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</si>
  <si>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</si>
  <si>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</si>
  <si>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</si>
  <si>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</si>
  <si>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</si>
  <si>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</si>
  <si>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</si>
  <si>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</si>
  <si>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</si>
  <si>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</si>
  <si>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</si>
  <si>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</si>
  <si>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</si>
  <si>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</si>
  <si>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</si>
  <si>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</si>
  <si>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</si>
  <si>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</si>
  <si>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</si>
  <si>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</si>
  <si>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</si>
  <si>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</si>
  <si>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</si>
  <si>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</si>
  <si>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</si>
  <si>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</si>
  <si>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</si>
  <si>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</si>
  <si>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</si>
  <si>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</si>
  <si>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</si>
  <si>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</si>
  <si>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</si>
  <si>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</si>
  <si>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</si>
  <si>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</si>
  <si>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</si>
  <si>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</si>
  <si>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</si>
  <si>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</si>
  <si>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</si>
  <si>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</si>
  <si>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</si>
  <si>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</si>
  <si>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</si>
  <si>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</si>
  <si>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</si>
  <si>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</si>
  <si>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</si>
  <si>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</si>
  <si>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</si>
  <si>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</si>
  <si>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</si>
  <si>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</si>
  <si>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</si>
  <si>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</si>
  <si>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</si>
  <si>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</si>
  <si>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Example Table</t>
  </si>
  <si>
    <t>CALCULATION</t>
  </si>
  <si>
    <t>EXCEL FUNCTION</t>
  </si>
  <si>
    <t>Total Price</t>
  </si>
  <si>
    <t>Product Count</t>
  </si>
  <si>
    <t>.  =SUM(D2:D35)</t>
  </si>
  <si>
    <t>. =COUNTA(B2:B35)</t>
  </si>
  <si>
    <t>Average</t>
  </si>
  <si>
    <t>.  =AVERAGE(D2:D35)</t>
  </si>
  <si>
    <t>. =MIN(D2:D35)</t>
  </si>
  <si>
    <t>Find Minimum Price</t>
  </si>
  <si>
    <t>Find Maximum Price</t>
  </si>
  <si>
    <t>. =MaX(D2:D35)</t>
  </si>
  <si>
    <t>Result Laptop</t>
  </si>
  <si>
    <t>Result T-Shirt</t>
  </si>
  <si>
    <t>Price Range</t>
  </si>
  <si>
    <t>Example Result</t>
  </si>
  <si>
    <t>PRICE($)</t>
  </si>
  <si>
    <t>PRICE RANGE</t>
  </si>
  <si>
    <t>High Price</t>
  </si>
  <si>
    <t>Standard Price</t>
  </si>
  <si>
    <t xml:space="preserve">FORMULA </t>
  </si>
  <si>
    <t>Countif number of products with price less than $100</t>
  </si>
  <si>
    <t>Products</t>
  </si>
  <si>
    <t>SUMIF - Total Price of Electronics Products</t>
  </si>
  <si>
    <t>.  =sumif(f2;f35,"Electronics",d2:d35)</t>
  </si>
  <si>
    <t>DAY</t>
  </si>
  <si>
    <t>COUNTRY CODE</t>
  </si>
  <si>
    <t>MONTH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</si>
</sst>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2" borderId="0" xfId="1" applyFont="1" applyFill="1" applyAlignment="1">
      <alignment horizontal="center"/>
    </xf>
    <xf numFmtId="0" fontId="4" fillId="0" borderId="0" xfId="1" applyFont="1"/>
    <xf numFmtId="0" fontId="4" fillId="3" borderId="0" xfId="1" applyFont="1" applyFill="1"/>
    <xf numFmtId="0" fontId="5" fillId="0" borderId="1" xfId="0" applyFont="1" applyBorder="1"/>
    <xf numFmtId="0" fontId="0" fillId="0" borderId="1" xfId="0" applyBorder="1"/>
    <xf numFmtId="0" fontId="1" fillId="4" borderId="1" xfId="0" applyFont="1" applyFill="1" applyBorder="1"/>
    <xf numFmtId="0" fontId="3" fillId="2" borderId="1" xfId="1" applyFont="1" applyFill="1" applyBorder="1" applyAlignment="1">
      <alignment horizontal="center"/>
    </xf>
    <xf numFmtId="0" fontId="4" fillId="0" borderId="1" xfId="1" applyFont="1" applyBorder="1"/>
    <xf numFmtId="0" fontId="4" fillId="3" borderId="1" xfId="1" applyFont="1" applyFill="1" applyBorder="1"/>
    <xf numFmtId="0" fontId="6" fillId="0" borderId="1" xfId="0" applyFont="1" applyBorder="1"/>
    <xf numFmtId="0" fontId="7" fillId="5" borderId="1" xfId="1" applyFont="1" applyFill="1" applyBorder="1"/>
    <xf numFmtId="0" fontId="6" fillId="0" borderId="1" xfId="0" applyFont="1" applyFill="1" applyBorder="1"/>
    <xf numFmtId="0" fontId="8" fillId="4" borderId="1" xfId="0" applyFont="1" applyFill="1" applyBorder="1"/>
    <xf numFmtId="0" fontId="6" fillId="0" borderId="0" xfId="0" applyFont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0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7" fillId="2" borderId="0" xfId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opLeftCell="A18" workbookViewId="0">
      <selection sqref="A1:F35"/>
    </sheetView>
  </sheetViews>
  <sheetFormatPr defaultRowHeight="15"/>
  <cols>
    <col min="1" max="1" width="16.85546875" customWidth="1"/>
    <col min="2" max="2" width="18.85546875" customWidth="1"/>
    <col min="3" max="3" width="11.85546875" customWidth="1"/>
    <col min="6" max="6" width="11.5703125" customWidth="1"/>
    <col min="8" max="8" width="2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6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6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</row>
    <row r="5" spans="1:6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</row>
    <row r="6" spans="1:6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</row>
    <row r="7" spans="1:6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</row>
    <row r="8" spans="1:6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6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6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6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</row>
    <row r="12" spans="1:6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</row>
    <row r="13" spans="1:6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</row>
    <row r="14" spans="1:6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</row>
    <row r="15" spans="1:6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</row>
    <row r="16" spans="1:6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</row>
    <row r="17" spans="1:6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</row>
    <row r="18" spans="1:6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</row>
    <row r="19" spans="1:6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</row>
    <row r="20" spans="1:6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</row>
    <row r="21" spans="1:6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</row>
    <row r="22" spans="1:6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</row>
    <row r="23" spans="1:6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</row>
    <row r="24" spans="1:6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</row>
    <row r="25" spans="1:6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</row>
    <row r="26" spans="1:6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</row>
    <row r="27" spans="1:6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</row>
    <row r="28" spans="1:6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</row>
    <row r="29" spans="1:6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</row>
    <row r="30" spans="1:6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</row>
    <row r="31" spans="1:6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</row>
    <row r="32" spans="1:6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</row>
    <row r="33" spans="1:6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</row>
    <row r="34" spans="1:6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</row>
    <row r="35" spans="1:6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</row>
    <row r="38" spans="1:6" ht="18.75">
      <c r="A38" s="4" t="s">
        <v>93</v>
      </c>
      <c r="B38" s="5"/>
      <c r="C38" s="5"/>
    </row>
    <row r="39" spans="1:6">
      <c r="A39" s="5"/>
      <c r="B39" s="5"/>
      <c r="C39" s="5"/>
    </row>
    <row r="40" spans="1:6">
      <c r="A40" s="6" t="s">
        <v>94</v>
      </c>
      <c r="B40" s="6" t="s">
        <v>95</v>
      </c>
      <c r="C40" s="5"/>
    </row>
    <row r="41" spans="1:6">
      <c r="A41" s="5" t="s">
        <v>96</v>
      </c>
      <c r="B41" s="5" t="s">
        <v>98</v>
      </c>
      <c r="C41" s="5">
        <v>10100</v>
      </c>
    </row>
    <row r="42" spans="1:6">
      <c r="A42" s="5" t="s">
        <v>97</v>
      </c>
      <c r="B42" s="5" t="s">
        <v>99</v>
      </c>
      <c r="C42" s="5">
        <v>34</v>
      </c>
    </row>
    <row r="43" spans="1:6">
      <c r="A43" s="5" t="s">
        <v>100</v>
      </c>
      <c r="B43" s="5" t="s">
        <v>101</v>
      </c>
      <c r="C43" s="5">
        <v>297.05882350000002</v>
      </c>
    </row>
    <row r="44" spans="1:6">
      <c r="A44" s="5"/>
      <c r="B44" s="5"/>
      <c r="C44" s="5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selection sqref="A1:F34"/>
    </sheetView>
  </sheetViews>
  <sheetFormatPr defaultRowHeight="15"/>
  <cols>
    <col min="1" max="1" width="19.28515625" customWidth="1"/>
    <col min="2" max="2" width="15.140625" customWidth="1"/>
    <col min="3" max="3" width="11.42578125" customWidth="1"/>
    <col min="6" max="6" width="13.42578125" customWidth="1"/>
  </cols>
  <sheetData>
    <row r="1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s="8" t="s">
        <v>6</v>
      </c>
      <c r="B2" s="8" t="s">
        <v>7</v>
      </c>
      <c r="C2" s="8" t="s">
        <v>8</v>
      </c>
      <c r="D2" s="8">
        <v>1000</v>
      </c>
      <c r="E2" s="8">
        <v>30</v>
      </c>
      <c r="F2" s="8" t="s">
        <v>9</v>
      </c>
    </row>
    <row r="3" spans="1:6">
      <c r="A3" s="9" t="s">
        <v>10</v>
      </c>
      <c r="B3" s="9" t="s">
        <v>11</v>
      </c>
      <c r="C3" s="9" t="s">
        <v>12</v>
      </c>
      <c r="D3" s="9">
        <v>80</v>
      </c>
      <c r="E3" s="9">
        <v>15</v>
      </c>
      <c r="F3" s="9" t="s">
        <v>13</v>
      </c>
    </row>
    <row r="4" spans="1:6">
      <c r="A4" s="8" t="s">
        <v>14</v>
      </c>
      <c r="B4" s="8" t="s">
        <v>15</v>
      </c>
      <c r="C4" s="8" t="s">
        <v>16</v>
      </c>
      <c r="D4" s="8">
        <v>130</v>
      </c>
      <c r="E4" s="8">
        <v>40</v>
      </c>
      <c r="F4" s="8" t="s">
        <v>17</v>
      </c>
    </row>
    <row r="5" spans="1:6">
      <c r="A5" s="9" t="s">
        <v>18</v>
      </c>
      <c r="B5" s="9" t="s">
        <v>19</v>
      </c>
      <c r="C5" s="9" t="s">
        <v>20</v>
      </c>
      <c r="D5" s="9">
        <v>900</v>
      </c>
      <c r="E5" s="9">
        <v>25</v>
      </c>
      <c r="F5" s="9" t="s">
        <v>9</v>
      </c>
    </row>
    <row r="6" spans="1:6">
      <c r="A6" s="8" t="s">
        <v>21</v>
      </c>
      <c r="B6" s="8" t="s">
        <v>22</v>
      </c>
      <c r="C6" s="8" t="s">
        <v>23</v>
      </c>
      <c r="D6" s="8">
        <v>70</v>
      </c>
      <c r="E6" s="8">
        <v>20</v>
      </c>
      <c r="F6" s="8" t="s">
        <v>24</v>
      </c>
    </row>
    <row r="7" spans="1:6">
      <c r="A7" s="9" t="s">
        <v>25</v>
      </c>
      <c r="B7" s="9" t="s">
        <v>26</v>
      </c>
      <c r="C7" s="9" t="s">
        <v>27</v>
      </c>
      <c r="D7" s="9">
        <v>200</v>
      </c>
      <c r="E7" s="9">
        <v>45</v>
      </c>
      <c r="F7" s="9" t="s">
        <v>9</v>
      </c>
    </row>
    <row r="8" spans="1:6">
      <c r="A8" s="8" t="s">
        <v>28</v>
      </c>
      <c r="B8" s="8" t="s">
        <v>29</v>
      </c>
      <c r="C8" s="8" t="s">
        <v>30</v>
      </c>
      <c r="D8" s="8">
        <v>30</v>
      </c>
      <c r="E8" s="8">
        <v>5</v>
      </c>
      <c r="F8" s="8" t="s">
        <v>13</v>
      </c>
    </row>
    <row r="9" spans="1:6">
      <c r="A9" s="9" t="s">
        <v>31</v>
      </c>
      <c r="B9" s="9" t="s">
        <v>32</v>
      </c>
      <c r="C9" s="9" t="s">
        <v>33</v>
      </c>
      <c r="D9" s="9">
        <v>90</v>
      </c>
      <c r="E9" s="9">
        <v>35</v>
      </c>
      <c r="F9" s="9" t="s">
        <v>17</v>
      </c>
    </row>
    <row r="10" spans="1:6">
      <c r="A10" s="8" t="s">
        <v>34</v>
      </c>
      <c r="B10" s="8" t="s">
        <v>35</v>
      </c>
      <c r="C10" s="8" t="s">
        <v>36</v>
      </c>
      <c r="D10" s="8">
        <v>500</v>
      </c>
      <c r="E10" s="8">
        <v>50</v>
      </c>
      <c r="F10" s="8" t="s">
        <v>9</v>
      </c>
    </row>
    <row r="11" spans="1:6">
      <c r="A11" s="9" t="s">
        <v>37</v>
      </c>
      <c r="B11" s="9" t="s">
        <v>38</v>
      </c>
      <c r="C11" s="9" t="s">
        <v>39</v>
      </c>
      <c r="D11" s="9">
        <v>130</v>
      </c>
      <c r="E11" s="9">
        <v>10</v>
      </c>
      <c r="F11" s="9" t="s">
        <v>24</v>
      </c>
    </row>
    <row r="12" spans="1:6">
      <c r="A12" s="8" t="s">
        <v>40</v>
      </c>
      <c r="B12" s="8" t="s">
        <v>7</v>
      </c>
      <c r="C12" s="8" t="s">
        <v>41</v>
      </c>
      <c r="D12" s="8">
        <v>950</v>
      </c>
      <c r="E12" s="8">
        <v>25</v>
      </c>
      <c r="F12" s="8" t="s">
        <v>9</v>
      </c>
    </row>
    <row r="13" spans="1:6">
      <c r="A13" s="9" t="s">
        <v>42</v>
      </c>
      <c r="B13" s="9" t="s">
        <v>11</v>
      </c>
      <c r="C13" s="9" t="s">
        <v>30</v>
      </c>
      <c r="D13" s="9">
        <v>90</v>
      </c>
      <c r="E13" s="9">
        <v>40</v>
      </c>
      <c r="F13" s="9" t="s">
        <v>13</v>
      </c>
    </row>
    <row r="14" spans="1:6">
      <c r="A14" s="8" t="s">
        <v>43</v>
      </c>
      <c r="B14" s="8" t="s">
        <v>15</v>
      </c>
      <c r="C14" s="8" t="s">
        <v>44</v>
      </c>
      <c r="D14" s="8">
        <v>120</v>
      </c>
      <c r="E14" s="8">
        <v>35</v>
      </c>
      <c r="F14" s="8" t="s">
        <v>17</v>
      </c>
    </row>
    <row r="15" spans="1:6">
      <c r="A15" s="9" t="s">
        <v>45</v>
      </c>
      <c r="B15" s="9" t="s">
        <v>46</v>
      </c>
      <c r="C15" s="9" t="s">
        <v>47</v>
      </c>
      <c r="D15" s="9">
        <v>150</v>
      </c>
      <c r="E15" s="9">
        <v>15</v>
      </c>
      <c r="F15" s="9" t="s">
        <v>9</v>
      </c>
    </row>
    <row r="16" spans="1:6">
      <c r="A16" s="8" t="s">
        <v>48</v>
      </c>
      <c r="B16" s="8" t="s">
        <v>26</v>
      </c>
      <c r="C16" s="8" t="s">
        <v>49</v>
      </c>
      <c r="D16" s="8">
        <v>250</v>
      </c>
      <c r="E16" s="8">
        <v>20</v>
      </c>
      <c r="F16" s="8" t="s">
        <v>9</v>
      </c>
    </row>
    <row r="17" spans="1:6">
      <c r="A17" s="9" t="s">
        <v>50</v>
      </c>
      <c r="B17" s="9" t="s">
        <v>51</v>
      </c>
      <c r="C17" s="9" t="s">
        <v>52</v>
      </c>
      <c r="D17" s="9">
        <v>50</v>
      </c>
      <c r="E17" s="9">
        <v>35</v>
      </c>
      <c r="F17" s="9" t="s">
        <v>53</v>
      </c>
    </row>
    <row r="18" spans="1:6">
      <c r="A18" s="8" t="s">
        <v>54</v>
      </c>
      <c r="B18" s="8" t="s">
        <v>46</v>
      </c>
      <c r="C18" s="8" t="s">
        <v>55</v>
      </c>
      <c r="D18" s="8">
        <v>160</v>
      </c>
      <c r="E18" s="8">
        <v>15</v>
      </c>
      <c r="F18" s="8" t="s">
        <v>9</v>
      </c>
    </row>
    <row r="19" spans="1:6">
      <c r="A19" s="9" t="s">
        <v>56</v>
      </c>
      <c r="B19" s="9" t="s">
        <v>7</v>
      </c>
      <c r="C19" s="9" t="s">
        <v>57</v>
      </c>
      <c r="D19" s="9">
        <v>980</v>
      </c>
      <c r="E19" s="9">
        <v>10</v>
      </c>
      <c r="F19" s="9" t="s">
        <v>9</v>
      </c>
    </row>
    <row r="20" spans="1:6">
      <c r="A20" s="8" t="s">
        <v>58</v>
      </c>
      <c r="B20" s="8" t="s">
        <v>59</v>
      </c>
      <c r="C20" s="8" t="s">
        <v>60</v>
      </c>
      <c r="D20" s="8">
        <v>150</v>
      </c>
      <c r="E20" s="8">
        <v>15</v>
      </c>
      <c r="F20" s="8" t="s">
        <v>13</v>
      </c>
    </row>
    <row r="21" spans="1:6">
      <c r="A21" s="9" t="s">
        <v>61</v>
      </c>
      <c r="B21" s="9" t="s">
        <v>62</v>
      </c>
      <c r="C21" s="9" t="s">
        <v>63</v>
      </c>
      <c r="D21" s="9">
        <v>200</v>
      </c>
      <c r="E21" s="9">
        <v>10</v>
      </c>
      <c r="F21" s="9" t="s">
        <v>24</v>
      </c>
    </row>
    <row r="22" spans="1:6">
      <c r="A22" s="8" t="s">
        <v>64</v>
      </c>
      <c r="B22" s="8" t="s">
        <v>65</v>
      </c>
      <c r="C22" s="8" t="s">
        <v>66</v>
      </c>
      <c r="D22" s="8">
        <v>700</v>
      </c>
      <c r="E22" s="8">
        <v>50</v>
      </c>
      <c r="F22" s="8" t="s">
        <v>9</v>
      </c>
    </row>
    <row r="23" spans="1:6">
      <c r="A23" s="9" t="s">
        <v>67</v>
      </c>
      <c r="B23" s="9" t="s">
        <v>68</v>
      </c>
      <c r="C23" s="9" t="s">
        <v>69</v>
      </c>
      <c r="D23" s="9">
        <v>80</v>
      </c>
      <c r="E23" s="9">
        <v>20</v>
      </c>
      <c r="F23" s="9" t="s">
        <v>17</v>
      </c>
    </row>
    <row r="24" spans="1:6">
      <c r="A24" s="8" t="s">
        <v>70</v>
      </c>
      <c r="B24" s="8" t="s">
        <v>71</v>
      </c>
      <c r="C24" s="8" t="s">
        <v>72</v>
      </c>
      <c r="D24" s="8">
        <v>150</v>
      </c>
      <c r="E24" s="8">
        <v>30</v>
      </c>
      <c r="F24" s="8" t="s">
        <v>9</v>
      </c>
    </row>
    <row r="25" spans="1:6">
      <c r="A25" s="9" t="s">
        <v>50</v>
      </c>
      <c r="B25" s="9" t="s">
        <v>51</v>
      </c>
      <c r="C25" s="9" t="s">
        <v>52</v>
      </c>
      <c r="D25" s="9">
        <v>50</v>
      </c>
      <c r="E25" s="9">
        <v>35</v>
      </c>
      <c r="F25" s="9" t="s">
        <v>53</v>
      </c>
    </row>
    <row r="26" spans="1:6">
      <c r="A26" s="8" t="s">
        <v>73</v>
      </c>
      <c r="B26" s="8" t="s">
        <v>19</v>
      </c>
      <c r="C26" s="8" t="s">
        <v>74</v>
      </c>
      <c r="D26" s="8">
        <v>800</v>
      </c>
      <c r="E26" s="8">
        <v>45</v>
      </c>
      <c r="F26" s="8" t="s">
        <v>9</v>
      </c>
    </row>
    <row r="27" spans="1:6">
      <c r="A27" s="9" t="s">
        <v>75</v>
      </c>
      <c r="B27" s="9" t="s">
        <v>59</v>
      </c>
      <c r="C27" s="9" t="s">
        <v>76</v>
      </c>
      <c r="D27" s="9">
        <v>130</v>
      </c>
      <c r="E27" s="9">
        <v>25</v>
      </c>
      <c r="F27" s="9" t="s">
        <v>13</v>
      </c>
    </row>
    <row r="28" spans="1:6">
      <c r="A28" s="8" t="s">
        <v>77</v>
      </c>
      <c r="B28" s="8" t="s">
        <v>32</v>
      </c>
      <c r="C28" s="8" t="s">
        <v>78</v>
      </c>
      <c r="D28" s="8">
        <v>400</v>
      </c>
      <c r="E28" s="8">
        <v>40</v>
      </c>
      <c r="F28" s="8" t="s">
        <v>17</v>
      </c>
    </row>
    <row r="29" spans="1:6">
      <c r="A29" s="9" t="s">
        <v>48</v>
      </c>
      <c r="B29" s="9" t="s">
        <v>26</v>
      </c>
      <c r="C29" s="9" t="s">
        <v>49</v>
      </c>
      <c r="D29" s="9">
        <v>230</v>
      </c>
      <c r="E29" s="9">
        <v>20</v>
      </c>
      <c r="F29" s="9" t="s">
        <v>9</v>
      </c>
    </row>
    <row r="30" spans="1:6">
      <c r="A30" s="8" t="s">
        <v>79</v>
      </c>
      <c r="B30" s="8" t="s">
        <v>80</v>
      </c>
      <c r="C30" s="8" t="s">
        <v>81</v>
      </c>
      <c r="D30" s="8">
        <v>60</v>
      </c>
      <c r="E30" s="8">
        <v>30</v>
      </c>
      <c r="F30" s="8" t="s">
        <v>13</v>
      </c>
    </row>
    <row r="31" spans="1:6">
      <c r="A31" s="9" t="s">
        <v>82</v>
      </c>
      <c r="B31" s="9" t="s">
        <v>83</v>
      </c>
      <c r="C31" s="9" t="s">
        <v>84</v>
      </c>
      <c r="D31" s="9">
        <v>40</v>
      </c>
      <c r="E31" s="9">
        <v>10</v>
      </c>
      <c r="F31" s="9" t="s">
        <v>17</v>
      </c>
    </row>
    <row r="32" spans="1:6">
      <c r="A32" s="8" t="s">
        <v>85</v>
      </c>
      <c r="B32" s="8" t="s">
        <v>71</v>
      </c>
      <c r="C32" s="8" t="s">
        <v>86</v>
      </c>
      <c r="D32" s="8">
        <v>130</v>
      </c>
      <c r="E32" s="8">
        <v>5</v>
      </c>
      <c r="F32" s="8" t="s">
        <v>9</v>
      </c>
    </row>
    <row r="33" spans="1:6">
      <c r="A33" s="9" t="s">
        <v>87</v>
      </c>
      <c r="B33" s="9" t="s">
        <v>88</v>
      </c>
      <c r="C33" s="9" t="s">
        <v>89</v>
      </c>
      <c r="D33" s="9">
        <v>50</v>
      </c>
      <c r="E33" s="9">
        <v>50</v>
      </c>
      <c r="F33" s="9" t="s">
        <v>13</v>
      </c>
    </row>
    <row r="34" spans="1:6">
      <c r="A34" s="8" t="s">
        <v>40</v>
      </c>
      <c r="B34" s="8" t="s">
        <v>7</v>
      </c>
      <c r="C34" s="8" t="s">
        <v>41</v>
      </c>
      <c r="D34" s="8">
        <v>950</v>
      </c>
      <c r="E34" s="8">
        <v>25</v>
      </c>
      <c r="F34" s="8" t="s">
        <v>9</v>
      </c>
    </row>
    <row r="35" spans="1:6">
      <c r="A35" s="9" t="s">
        <v>90</v>
      </c>
      <c r="B35" s="9" t="s">
        <v>91</v>
      </c>
      <c r="C35" s="9" t="s">
        <v>92</v>
      </c>
      <c r="D35" s="9">
        <v>100</v>
      </c>
      <c r="E35" s="9">
        <v>20</v>
      </c>
      <c r="F35" s="9" t="s">
        <v>53</v>
      </c>
    </row>
    <row r="37" spans="1:6">
      <c r="A37" s="10" t="s">
        <v>103</v>
      </c>
      <c r="B37" s="5" t="s">
        <v>102</v>
      </c>
    </row>
    <row r="38" spans="1:6">
      <c r="A38" s="10" t="s">
        <v>107</v>
      </c>
      <c r="B38" s="5">
        <f>MIN(D2:D35)</f>
        <v>30</v>
      </c>
    </row>
    <row r="39" spans="1:6">
      <c r="A39" s="10"/>
      <c r="B39" s="5"/>
    </row>
    <row r="40" spans="1:6">
      <c r="A40" s="10" t="s">
        <v>104</v>
      </c>
      <c r="B40" s="5" t="s">
        <v>105</v>
      </c>
    </row>
    <row r="41" spans="1:6">
      <c r="A41" s="10" t="s">
        <v>106</v>
      </c>
      <c r="B41" s="5">
        <f>MAX(D2:D35)</f>
        <v>1000</v>
      </c>
    </row>
    <row r="42" spans="1:6">
      <c r="A42" s="5"/>
      <c r="B42" s="5"/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>
      <selection activeCell="B53" sqref="B53"/>
    </sheetView>
  </sheetViews>
  <sheetFormatPr defaultRowHeight="15"/>
  <cols>
    <col min="1" max="2" width="14.7109375" customWidth="1"/>
    <col min="3" max="3" width="12" customWidth="1"/>
    <col min="6" max="6" width="12.7109375" customWidth="1"/>
    <col min="7" max="7" width="15" customWidth="1"/>
  </cols>
  <sheetData>
    <row r="1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108</v>
      </c>
    </row>
    <row r="2" spans="1:7">
      <c r="A2" s="8" t="s">
        <v>6</v>
      </c>
      <c r="B2" s="8" t="s">
        <v>7</v>
      </c>
      <c r="C2" s="8" t="s">
        <v>8</v>
      </c>
      <c r="D2" s="8">
        <v>1000</v>
      </c>
      <c r="E2" s="8">
        <v>30</v>
      </c>
      <c r="F2" s="8" t="s">
        <v>9</v>
      </c>
      <c r="G2" s="5" t="str">
        <f>IF(D2&gt;=500,"High Price","Standard Price")</f>
        <v>High Price</v>
      </c>
    </row>
    <row r="3" spans="1:7">
      <c r="A3" s="9" t="s">
        <v>10</v>
      </c>
      <c r="B3" s="9" t="s">
        <v>11</v>
      </c>
      <c r="C3" s="9" t="s">
        <v>12</v>
      </c>
      <c r="D3" s="9">
        <v>80</v>
      </c>
      <c r="E3" s="9">
        <v>15</v>
      </c>
      <c r="F3" s="9" t="s">
        <v>13</v>
      </c>
      <c r="G3" s="5" t="str">
        <f t="shared" ref="G3:G34" si="0">IF(D3&gt;=500,"High Price","Standard Price")</f>
        <v>Standard Price</v>
      </c>
    </row>
    <row r="4" spans="1:7">
      <c r="A4" s="8" t="s">
        <v>14</v>
      </c>
      <c r="B4" s="8" t="s">
        <v>15</v>
      </c>
      <c r="C4" s="8" t="s">
        <v>16</v>
      </c>
      <c r="D4" s="8">
        <v>130</v>
      </c>
      <c r="E4" s="8">
        <v>40</v>
      </c>
      <c r="F4" s="8" t="s">
        <v>17</v>
      </c>
      <c r="G4" s="5" t="str">
        <f t="shared" si="0"/>
        <v>Standard Price</v>
      </c>
    </row>
    <row r="5" spans="1:7">
      <c r="A5" s="9" t="s">
        <v>18</v>
      </c>
      <c r="B5" s="9" t="s">
        <v>19</v>
      </c>
      <c r="C5" s="9" t="s">
        <v>20</v>
      </c>
      <c r="D5" s="9">
        <v>900</v>
      </c>
      <c r="E5" s="9">
        <v>25</v>
      </c>
      <c r="F5" s="9" t="s">
        <v>9</v>
      </c>
      <c r="G5" s="5" t="str">
        <f t="shared" si="0"/>
        <v>High Price</v>
      </c>
    </row>
    <row r="6" spans="1:7">
      <c r="A6" s="8" t="s">
        <v>21</v>
      </c>
      <c r="B6" s="8" t="s">
        <v>22</v>
      </c>
      <c r="C6" s="8" t="s">
        <v>23</v>
      </c>
      <c r="D6" s="8">
        <v>70</v>
      </c>
      <c r="E6" s="8">
        <v>20</v>
      </c>
      <c r="F6" s="8" t="s">
        <v>24</v>
      </c>
      <c r="G6" s="5" t="str">
        <f t="shared" si="0"/>
        <v>Standard Price</v>
      </c>
    </row>
    <row r="7" spans="1:7">
      <c r="A7" s="9" t="s">
        <v>25</v>
      </c>
      <c r="B7" s="9" t="s">
        <v>26</v>
      </c>
      <c r="C7" s="9" t="s">
        <v>27</v>
      </c>
      <c r="D7" s="9">
        <v>200</v>
      </c>
      <c r="E7" s="9">
        <v>45</v>
      </c>
      <c r="F7" s="9" t="s">
        <v>9</v>
      </c>
      <c r="G7" s="5" t="str">
        <f t="shared" si="0"/>
        <v>Standard Price</v>
      </c>
    </row>
    <row r="8" spans="1:7">
      <c r="A8" s="8" t="s">
        <v>28</v>
      </c>
      <c r="B8" s="8" t="s">
        <v>29</v>
      </c>
      <c r="C8" s="8" t="s">
        <v>30</v>
      </c>
      <c r="D8" s="8">
        <v>30</v>
      </c>
      <c r="E8" s="8">
        <v>5</v>
      </c>
      <c r="F8" s="8" t="s">
        <v>13</v>
      </c>
      <c r="G8" s="5" t="str">
        <f t="shared" si="0"/>
        <v>Standard Price</v>
      </c>
    </row>
    <row r="9" spans="1:7">
      <c r="A9" s="9" t="s">
        <v>31</v>
      </c>
      <c r="B9" s="9" t="s">
        <v>32</v>
      </c>
      <c r="C9" s="9" t="s">
        <v>33</v>
      </c>
      <c r="D9" s="9">
        <v>90</v>
      </c>
      <c r="E9" s="9">
        <v>35</v>
      </c>
      <c r="F9" s="9" t="s">
        <v>17</v>
      </c>
      <c r="G9" s="5" t="str">
        <f t="shared" si="0"/>
        <v>Standard Price</v>
      </c>
    </row>
    <row r="10" spans="1:7">
      <c r="A10" s="8" t="s">
        <v>34</v>
      </c>
      <c r="B10" s="8" t="s">
        <v>35</v>
      </c>
      <c r="C10" s="8" t="s">
        <v>36</v>
      </c>
      <c r="D10" s="8">
        <v>500</v>
      </c>
      <c r="E10" s="8">
        <v>50</v>
      </c>
      <c r="F10" s="8" t="s">
        <v>9</v>
      </c>
      <c r="G10" s="5" t="str">
        <f t="shared" si="0"/>
        <v>High Price</v>
      </c>
    </row>
    <row r="11" spans="1:7">
      <c r="A11" s="9" t="s">
        <v>37</v>
      </c>
      <c r="B11" s="9" t="s">
        <v>38</v>
      </c>
      <c r="C11" s="9" t="s">
        <v>39</v>
      </c>
      <c r="D11" s="9">
        <v>130</v>
      </c>
      <c r="E11" s="9">
        <v>10</v>
      </c>
      <c r="F11" s="9" t="s">
        <v>24</v>
      </c>
      <c r="G11" s="5" t="str">
        <f t="shared" si="0"/>
        <v>Standard Price</v>
      </c>
    </row>
    <row r="12" spans="1:7">
      <c r="A12" s="8" t="s">
        <v>40</v>
      </c>
      <c r="B12" s="8" t="s">
        <v>7</v>
      </c>
      <c r="C12" s="8" t="s">
        <v>41</v>
      </c>
      <c r="D12" s="8">
        <v>950</v>
      </c>
      <c r="E12" s="8">
        <v>25</v>
      </c>
      <c r="F12" s="8" t="s">
        <v>9</v>
      </c>
      <c r="G12" s="5" t="str">
        <f t="shared" si="0"/>
        <v>High Price</v>
      </c>
    </row>
    <row r="13" spans="1:7">
      <c r="A13" s="9" t="s">
        <v>42</v>
      </c>
      <c r="B13" s="9" t="s">
        <v>11</v>
      </c>
      <c r="C13" s="9" t="s">
        <v>30</v>
      </c>
      <c r="D13" s="9">
        <v>90</v>
      </c>
      <c r="E13" s="9">
        <v>40</v>
      </c>
      <c r="F13" s="9" t="s">
        <v>13</v>
      </c>
      <c r="G13" s="5" t="str">
        <f t="shared" si="0"/>
        <v>Standard Price</v>
      </c>
    </row>
    <row r="14" spans="1:7">
      <c r="A14" s="8" t="s">
        <v>43</v>
      </c>
      <c r="B14" s="8" t="s">
        <v>15</v>
      </c>
      <c r="C14" s="8" t="s">
        <v>44</v>
      </c>
      <c r="D14" s="8">
        <v>120</v>
      </c>
      <c r="E14" s="8">
        <v>35</v>
      </c>
      <c r="F14" s="8" t="s">
        <v>17</v>
      </c>
      <c r="G14" s="5" t="str">
        <f t="shared" si="0"/>
        <v>Standard Price</v>
      </c>
    </row>
    <row r="15" spans="1:7">
      <c r="A15" s="9" t="s">
        <v>45</v>
      </c>
      <c r="B15" s="9" t="s">
        <v>46</v>
      </c>
      <c r="C15" s="9" t="s">
        <v>47</v>
      </c>
      <c r="D15" s="9">
        <v>150</v>
      </c>
      <c r="E15" s="9">
        <v>15</v>
      </c>
      <c r="F15" s="9" t="s">
        <v>9</v>
      </c>
      <c r="G15" s="5" t="str">
        <f t="shared" si="0"/>
        <v>Standard Price</v>
      </c>
    </row>
    <row r="16" spans="1:7">
      <c r="A16" s="8" t="s">
        <v>48</v>
      </c>
      <c r="B16" s="8" t="s">
        <v>26</v>
      </c>
      <c r="C16" s="8" t="s">
        <v>49</v>
      </c>
      <c r="D16" s="8">
        <v>250</v>
      </c>
      <c r="E16" s="8">
        <v>20</v>
      </c>
      <c r="F16" s="8" t="s">
        <v>9</v>
      </c>
      <c r="G16" s="5" t="str">
        <f t="shared" si="0"/>
        <v>Standard Price</v>
      </c>
    </row>
    <row r="17" spans="1:7">
      <c r="A17" s="9" t="s">
        <v>50</v>
      </c>
      <c r="B17" s="9" t="s">
        <v>51</v>
      </c>
      <c r="C17" s="9" t="s">
        <v>52</v>
      </c>
      <c r="D17" s="9">
        <v>50</v>
      </c>
      <c r="E17" s="9">
        <v>35</v>
      </c>
      <c r="F17" s="9" t="s">
        <v>53</v>
      </c>
      <c r="G17" s="5" t="str">
        <f t="shared" si="0"/>
        <v>Standard Price</v>
      </c>
    </row>
    <row r="18" spans="1:7">
      <c r="A18" s="8" t="s">
        <v>54</v>
      </c>
      <c r="B18" s="8" t="s">
        <v>46</v>
      </c>
      <c r="C18" s="8" t="s">
        <v>55</v>
      </c>
      <c r="D18" s="8">
        <v>160</v>
      </c>
      <c r="E18" s="8">
        <v>15</v>
      </c>
      <c r="F18" s="8" t="s">
        <v>9</v>
      </c>
      <c r="G18" s="5" t="str">
        <f t="shared" si="0"/>
        <v>Standard Price</v>
      </c>
    </row>
    <row r="19" spans="1:7">
      <c r="A19" s="9" t="s">
        <v>56</v>
      </c>
      <c r="B19" s="9" t="s">
        <v>7</v>
      </c>
      <c r="C19" s="9" t="s">
        <v>57</v>
      </c>
      <c r="D19" s="9">
        <v>980</v>
      </c>
      <c r="E19" s="9">
        <v>10</v>
      </c>
      <c r="F19" s="9" t="s">
        <v>9</v>
      </c>
      <c r="G19" s="5" t="str">
        <f t="shared" si="0"/>
        <v>High Price</v>
      </c>
    </row>
    <row r="20" spans="1:7">
      <c r="A20" s="8" t="s">
        <v>58</v>
      </c>
      <c r="B20" s="8" t="s">
        <v>59</v>
      </c>
      <c r="C20" s="8" t="s">
        <v>60</v>
      </c>
      <c r="D20" s="8">
        <v>150</v>
      </c>
      <c r="E20" s="8">
        <v>15</v>
      </c>
      <c r="F20" s="8" t="s">
        <v>13</v>
      </c>
      <c r="G20" s="5" t="str">
        <f t="shared" si="0"/>
        <v>Standard Price</v>
      </c>
    </row>
    <row r="21" spans="1:7">
      <c r="A21" s="9" t="s">
        <v>61</v>
      </c>
      <c r="B21" s="9" t="s">
        <v>62</v>
      </c>
      <c r="C21" s="9" t="s">
        <v>63</v>
      </c>
      <c r="D21" s="9">
        <v>200</v>
      </c>
      <c r="E21" s="9">
        <v>10</v>
      </c>
      <c r="F21" s="9" t="s">
        <v>24</v>
      </c>
      <c r="G21" s="5" t="str">
        <f t="shared" si="0"/>
        <v>Standard Price</v>
      </c>
    </row>
    <row r="22" spans="1:7">
      <c r="A22" s="8" t="s">
        <v>64</v>
      </c>
      <c r="B22" s="8" t="s">
        <v>65</v>
      </c>
      <c r="C22" s="8" t="s">
        <v>66</v>
      </c>
      <c r="D22" s="8">
        <v>700</v>
      </c>
      <c r="E22" s="8">
        <v>50</v>
      </c>
      <c r="F22" s="8" t="s">
        <v>9</v>
      </c>
      <c r="G22" s="5" t="str">
        <f t="shared" si="0"/>
        <v>High Price</v>
      </c>
    </row>
    <row r="23" spans="1:7">
      <c r="A23" s="9" t="s">
        <v>67</v>
      </c>
      <c r="B23" s="9" t="s">
        <v>68</v>
      </c>
      <c r="C23" s="9" t="s">
        <v>69</v>
      </c>
      <c r="D23" s="9">
        <v>80</v>
      </c>
      <c r="E23" s="9">
        <v>20</v>
      </c>
      <c r="F23" s="9" t="s">
        <v>17</v>
      </c>
      <c r="G23" s="5" t="str">
        <f t="shared" si="0"/>
        <v>Standard Price</v>
      </c>
    </row>
    <row r="24" spans="1:7">
      <c r="A24" s="8" t="s">
        <v>70</v>
      </c>
      <c r="B24" s="8" t="s">
        <v>71</v>
      </c>
      <c r="C24" s="8" t="s">
        <v>72</v>
      </c>
      <c r="D24" s="8">
        <v>150</v>
      </c>
      <c r="E24" s="8">
        <v>30</v>
      </c>
      <c r="F24" s="8" t="s">
        <v>9</v>
      </c>
      <c r="G24" s="5" t="str">
        <f t="shared" si="0"/>
        <v>Standard Price</v>
      </c>
    </row>
    <row r="25" spans="1:7">
      <c r="A25" s="9" t="s">
        <v>50</v>
      </c>
      <c r="B25" s="9" t="s">
        <v>51</v>
      </c>
      <c r="C25" s="9" t="s">
        <v>52</v>
      </c>
      <c r="D25" s="9">
        <v>50</v>
      </c>
      <c r="E25" s="9">
        <v>35</v>
      </c>
      <c r="F25" s="9" t="s">
        <v>53</v>
      </c>
      <c r="G25" s="5" t="str">
        <f t="shared" si="0"/>
        <v>Standard Price</v>
      </c>
    </row>
    <row r="26" spans="1:7">
      <c r="A26" s="8" t="s">
        <v>73</v>
      </c>
      <c r="B26" s="8" t="s">
        <v>19</v>
      </c>
      <c r="C26" s="8" t="s">
        <v>74</v>
      </c>
      <c r="D26" s="8">
        <v>800</v>
      </c>
      <c r="E26" s="8">
        <v>45</v>
      </c>
      <c r="F26" s="8" t="s">
        <v>9</v>
      </c>
      <c r="G26" s="5" t="str">
        <f t="shared" si="0"/>
        <v>High Price</v>
      </c>
    </row>
    <row r="27" spans="1:7">
      <c r="A27" s="9" t="s">
        <v>75</v>
      </c>
      <c r="B27" s="9" t="s">
        <v>59</v>
      </c>
      <c r="C27" s="9" t="s">
        <v>76</v>
      </c>
      <c r="D27" s="9">
        <v>130</v>
      </c>
      <c r="E27" s="9">
        <v>25</v>
      </c>
      <c r="F27" s="9" t="s">
        <v>13</v>
      </c>
      <c r="G27" s="5" t="str">
        <f t="shared" si="0"/>
        <v>Standard Price</v>
      </c>
    </row>
    <row r="28" spans="1:7">
      <c r="A28" s="8" t="s">
        <v>77</v>
      </c>
      <c r="B28" s="8" t="s">
        <v>32</v>
      </c>
      <c r="C28" s="8" t="s">
        <v>78</v>
      </c>
      <c r="D28" s="8">
        <v>400</v>
      </c>
      <c r="E28" s="8">
        <v>40</v>
      </c>
      <c r="F28" s="8" t="s">
        <v>17</v>
      </c>
      <c r="G28" s="5" t="str">
        <f t="shared" si="0"/>
        <v>Standard Price</v>
      </c>
    </row>
    <row r="29" spans="1:7">
      <c r="A29" s="9" t="s">
        <v>48</v>
      </c>
      <c r="B29" s="9" t="s">
        <v>26</v>
      </c>
      <c r="C29" s="9" t="s">
        <v>49</v>
      </c>
      <c r="D29" s="9">
        <v>230</v>
      </c>
      <c r="E29" s="9">
        <v>20</v>
      </c>
      <c r="F29" s="9" t="s">
        <v>9</v>
      </c>
      <c r="G29" s="5" t="str">
        <f t="shared" si="0"/>
        <v>Standard Price</v>
      </c>
    </row>
    <row r="30" spans="1:7">
      <c r="A30" s="8" t="s">
        <v>79</v>
      </c>
      <c r="B30" s="8" t="s">
        <v>80</v>
      </c>
      <c r="C30" s="8" t="s">
        <v>81</v>
      </c>
      <c r="D30" s="8">
        <v>60</v>
      </c>
      <c r="E30" s="8">
        <v>30</v>
      </c>
      <c r="F30" s="8" t="s">
        <v>13</v>
      </c>
      <c r="G30" s="5" t="str">
        <f t="shared" si="0"/>
        <v>Standard Price</v>
      </c>
    </row>
    <row r="31" spans="1:7">
      <c r="A31" s="9" t="s">
        <v>82</v>
      </c>
      <c r="B31" s="9" t="s">
        <v>83</v>
      </c>
      <c r="C31" s="9" t="s">
        <v>84</v>
      </c>
      <c r="D31" s="9">
        <v>40</v>
      </c>
      <c r="E31" s="9">
        <v>10</v>
      </c>
      <c r="F31" s="9" t="s">
        <v>17</v>
      </c>
      <c r="G31" s="5" t="str">
        <f t="shared" si="0"/>
        <v>Standard Price</v>
      </c>
    </row>
    <row r="32" spans="1:7">
      <c r="A32" s="8" t="s">
        <v>85</v>
      </c>
      <c r="B32" s="8" t="s">
        <v>71</v>
      </c>
      <c r="C32" s="8" t="s">
        <v>86</v>
      </c>
      <c r="D32" s="8">
        <v>130</v>
      </c>
      <c r="E32" s="8">
        <v>5</v>
      </c>
      <c r="F32" s="8" t="s">
        <v>9</v>
      </c>
      <c r="G32" s="5" t="str">
        <f t="shared" si="0"/>
        <v>Standard Price</v>
      </c>
    </row>
    <row r="33" spans="1:7">
      <c r="A33" s="9" t="s">
        <v>87</v>
      </c>
      <c r="B33" s="9" t="s">
        <v>88</v>
      </c>
      <c r="C33" s="9" t="s">
        <v>89</v>
      </c>
      <c r="D33" s="9">
        <v>50</v>
      </c>
      <c r="E33" s="9">
        <v>50</v>
      </c>
      <c r="F33" s="9" t="s">
        <v>13</v>
      </c>
      <c r="G33" s="5" t="str">
        <f t="shared" si="0"/>
        <v>Standard Price</v>
      </c>
    </row>
    <row r="34" spans="1:7">
      <c r="A34" s="8" t="s">
        <v>40</v>
      </c>
      <c r="B34" s="8" t="s">
        <v>7</v>
      </c>
      <c r="C34" s="8" t="s">
        <v>41</v>
      </c>
      <c r="D34" s="8">
        <v>950</v>
      </c>
      <c r="E34" s="8">
        <v>25</v>
      </c>
      <c r="F34" s="8" t="s">
        <v>9</v>
      </c>
      <c r="G34" s="5" t="str">
        <f t="shared" si="0"/>
        <v>High Price</v>
      </c>
    </row>
    <row r="36" spans="1:7">
      <c r="A36" s="13" t="s">
        <v>109</v>
      </c>
      <c r="B36" s="13"/>
    </row>
    <row r="37" spans="1:7">
      <c r="A37" s="13" t="s">
        <v>110</v>
      </c>
      <c r="B37" s="13" t="s">
        <v>111</v>
      </c>
    </row>
    <row r="38" spans="1:7">
      <c r="A38" s="10">
        <v>1000</v>
      </c>
      <c r="B38" s="10" t="s">
        <v>112</v>
      </c>
    </row>
    <row r="39" spans="1:7">
      <c r="A39" s="10">
        <v>80</v>
      </c>
      <c r="B39" s="12" t="s">
        <v>113</v>
      </c>
    </row>
    <row r="40" spans="1:7">
      <c r="A40" s="10">
        <v>130</v>
      </c>
      <c r="B40" s="12" t="s">
        <v>113</v>
      </c>
    </row>
    <row r="41" spans="1:7">
      <c r="A41" s="10">
        <v>900</v>
      </c>
      <c r="B41" s="10" t="s">
        <v>112</v>
      </c>
    </row>
    <row r="42" spans="1:7">
      <c r="A42" s="10">
        <v>500</v>
      </c>
      <c r="B42" s="10" t="s">
        <v>112</v>
      </c>
    </row>
    <row r="43" spans="1:7">
      <c r="A43" s="10">
        <v>400</v>
      </c>
      <c r="B43" s="12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4"/>
  <sheetViews>
    <sheetView topLeftCell="A25" workbookViewId="0">
      <selection activeCell="L33" sqref="L33"/>
    </sheetView>
  </sheetViews>
  <sheetFormatPr defaultRowHeight="15"/>
  <cols>
    <col min="1" max="1" width="12.140625" customWidth="1"/>
    <col min="2" max="2" width="16.140625" customWidth="1"/>
    <col min="3" max="3" width="12.140625" customWidth="1"/>
    <col min="6" max="6" width="12" customWidth="1"/>
    <col min="7" max="7" width="11.140625" customWidth="1"/>
    <col min="8" max="9" width="1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4" t="s">
        <v>119</v>
      </c>
      <c r="H1" s="24" t="s">
        <v>120</v>
      </c>
      <c r="I1" s="24" t="s">
        <v>121</v>
      </c>
    </row>
    <row r="2" spans="1:9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t="str">
        <f>LEFT(A2,2)</f>
        <v>28</v>
      </c>
      <c r="H2" t="str">
        <f>RIGHT(A2,2)</f>
        <v>US</v>
      </c>
      <c r="I2" t="str">
        <f>MID(A2,4,3)</f>
        <v>JAN</v>
      </c>
    </row>
    <row r="3" spans="1:9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t="str">
        <f t="shared" ref="G3:G35" si="0">LEFT(A3,2)</f>
        <v>15</v>
      </c>
      <c r="H3" t="str">
        <f t="shared" ref="H3:H35" si="1">RIGHT(A3,2)</f>
        <v>US</v>
      </c>
      <c r="I3" t="str">
        <f t="shared" ref="I3:I35" si="2">MID(A3,4,3)</f>
        <v>FEB</v>
      </c>
    </row>
    <row r="4" spans="1:9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t="str">
        <f t="shared" si="0"/>
        <v>03</v>
      </c>
      <c r="H4" t="str">
        <f t="shared" si="1"/>
        <v>US</v>
      </c>
      <c r="I4" t="str">
        <f t="shared" si="2"/>
        <v>MAR</v>
      </c>
    </row>
    <row r="5" spans="1:9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t="str">
        <f t="shared" si="0"/>
        <v>11</v>
      </c>
      <c r="H5" t="str">
        <f t="shared" si="1"/>
        <v>US</v>
      </c>
      <c r="I5" t="str">
        <f t="shared" si="2"/>
        <v>APR</v>
      </c>
    </row>
    <row r="6" spans="1:9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t="str">
        <f t="shared" si="0"/>
        <v>22</v>
      </c>
      <c r="H6" t="str">
        <f t="shared" si="1"/>
        <v>US</v>
      </c>
      <c r="I6" t="str">
        <f t="shared" si="2"/>
        <v>MAY</v>
      </c>
    </row>
    <row r="7" spans="1:9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t="str">
        <f t="shared" si="0"/>
        <v>07</v>
      </c>
      <c r="H7" t="str">
        <f t="shared" si="1"/>
        <v>UK</v>
      </c>
      <c r="I7" t="str">
        <f t="shared" si="2"/>
        <v>JUN</v>
      </c>
    </row>
    <row r="8" spans="1:9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t="str">
        <f t="shared" si="0"/>
        <v>19</v>
      </c>
      <c r="H8" t="str">
        <f t="shared" si="1"/>
        <v>UK</v>
      </c>
      <c r="I8" t="str">
        <f t="shared" si="2"/>
        <v>JUL</v>
      </c>
    </row>
    <row r="9" spans="1:9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t="str">
        <f t="shared" si="0"/>
        <v>23</v>
      </c>
      <c r="H9" t="str">
        <f t="shared" si="1"/>
        <v>UK</v>
      </c>
      <c r="I9" t="str">
        <f t="shared" si="2"/>
        <v>AUG</v>
      </c>
    </row>
    <row r="10" spans="1:9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t="str">
        <f t="shared" si="0"/>
        <v>05</v>
      </c>
      <c r="H10" t="str">
        <f t="shared" si="1"/>
        <v>UK</v>
      </c>
      <c r="I10" t="str">
        <f t="shared" si="2"/>
        <v>SEP</v>
      </c>
    </row>
    <row r="11" spans="1:9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t="str">
        <f t="shared" si="0"/>
        <v>14</v>
      </c>
      <c r="H11" t="str">
        <f t="shared" si="1"/>
        <v>UK</v>
      </c>
      <c r="I11" t="str">
        <f t="shared" si="2"/>
        <v>OCT</v>
      </c>
    </row>
    <row r="12" spans="1:9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t="str">
        <f t="shared" si="0"/>
        <v>17</v>
      </c>
      <c r="H12" t="str">
        <f t="shared" si="1"/>
        <v>IN</v>
      </c>
      <c r="I12" t="str">
        <f t="shared" si="2"/>
        <v>JUN</v>
      </c>
    </row>
    <row r="13" spans="1:9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t="str">
        <f t="shared" si="0"/>
        <v>25</v>
      </c>
      <c r="H13" t="str">
        <f t="shared" si="1"/>
        <v>AU</v>
      </c>
      <c r="I13" t="str">
        <f t="shared" si="2"/>
        <v>NOV</v>
      </c>
    </row>
    <row r="14" spans="1:9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t="str">
        <f t="shared" si="0"/>
        <v>08</v>
      </c>
      <c r="H14" t="str">
        <f t="shared" si="1"/>
        <v>DE</v>
      </c>
      <c r="I14" t="str">
        <f t="shared" si="2"/>
        <v>DEC</v>
      </c>
    </row>
    <row r="15" spans="1:9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t="str">
        <f t="shared" si="0"/>
        <v>18</v>
      </c>
      <c r="H15" t="str">
        <f t="shared" si="1"/>
        <v>CA</v>
      </c>
      <c r="I15" t="str">
        <f t="shared" si="2"/>
        <v>FEB</v>
      </c>
    </row>
    <row r="16" spans="1:9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t="str">
        <f t="shared" si="0"/>
        <v>16</v>
      </c>
      <c r="H16" t="str">
        <f t="shared" si="1"/>
        <v>ES</v>
      </c>
      <c r="I16" t="str">
        <f t="shared" si="2"/>
        <v>APR</v>
      </c>
    </row>
    <row r="17" spans="1:9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t="str">
        <f t="shared" si="0"/>
        <v>21</v>
      </c>
      <c r="H17" t="str">
        <f t="shared" si="1"/>
        <v>CA</v>
      </c>
      <c r="I17" t="str">
        <f t="shared" si="2"/>
        <v>AUG</v>
      </c>
    </row>
    <row r="18" spans="1:9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t="str">
        <f t="shared" si="0"/>
        <v>20</v>
      </c>
      <c r="H18" t="str">
        <f t="shared" si="1"/>
        <v>CN</v>
      </c>
      <c r="I18" t="str">
        <f t="shared" si="2"/>
        <v>AUG</v>
      </c>
    </row>
    <row r="19" spans="1:9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t="str">
        <f t="shared" si="0"/>
        <v>27</v>
      </c>
      <c r="H19" t="str">
        <f t="shared" si="1"/>
        <v>IT</v>
      </c>
      <c r="I19" t="str">
        <f t="shared" si="2"/>
        <v>JAN</v>
      </c>
    </row>
    <row r="20" spans="1:9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t="str">
        <f t="shared" si="0"/>
        <v>01</v>
      </c>
      <c r="H20" t="str">
        <f t="shared" si="1"/>
        <v>UK</v>
      </c>
      <c r="I20" t="str">
        <f t="shared" si="2"/>
        <v>MAR</v>
      </c>
    </row>
    <row r="21" spans="1:9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t="str">
        <f t="shared" si="0"/>
        <v>14</v>
      </c>
      <c r="H21" t="str">
        <f t="shared" si="1"/>
        <v>US</v>
      </c>
      <c r="I21" t="str">
        <f t="shared" si="2"/>
        <v>AUG</v>
      </c>
    </row>
    <row r="22" spans="1:9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t="str">
        <f t="shared" si="0"/>
        <v>14</v>
      </c>
      <c r="H22" t="str">
        <f t="shared" si="1"/>
        <v>RU</v>
      </c>
      <c r="I22" t="str">
        <f t="shared" si="2"/>
        <v>MAY</v>
      </c>
    </row>
    <row r="23" spans="1:9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t="str">
        <f t="shared" si="0"/>
        <v>09</v>
      </c>
      <c r="H23" t="str">
        <f t="shared" si="1"/>
        <v>CA</v>
      </c>
      <c r="I23" t="str">
        <f t="shared" si="2"/>
        <v>JAN</v>
      </c>
    </row>
    <row r="24" spans="1:9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t="str">
        <f t="shared" si="0"/>
        <v>19</v>
      </c>
      <c r="H24" t="str">
        <f t="shared" si="1"/>
        <v>BR</v>
      </c>
      <c r="I24" t="str">
        <f t="shared" si="2"/>
        <v>JUL</v>
      </c>
    </row>
    <row r="25" spans="1:9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t="str">
        <f t="shared" si="0"/>
        <v>21</v>
      </c>
      <c r="H25" t="str">
        <f t="shared" si="1"/>
        <v>CA</v>
      </c>
      <c r="I25" t="str">
        <f t="shared" si="2"/>
        <v>AUG</v>
      </c>
    </row>
    <row r="26" spans="1:9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t="str">
        <f t="shared" si="0"/>
        <v>29</v>
      </c>
      <c r="H26" t="str">
        <f t="shared" si="1"/>
        <v>CA</v>
      </c>
      <c r="I26" t="str">
        <f t="shared" si="2"/>
        <v>SEP</v>
      </c>
    </row>
    <row r="27" spans="1:9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t="str">
        <f t="shared" si="0"/>
        <v>03</v>
      </c>
      <c r="H27" t="str">
        <f t="shared" si="1"/>
        <v>CA</v>
      </c>
      <c r="I27" t="str">
        <f t="shared" si="2"/>
        <v>JUN</v>
      </c>
    </row>
    <row r="28" spans="1:9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t="str">
        <f t="shared" si="0"/>
        <v>11</v>
      </c>
      <c r="H28" t="str">
        <f t="shared" si="1"/>
        <v>CA</v>
      </c>
      <c r="I28" t="str">
        <f t="shared" si="2"/>
        <v>JUL</v>
      </c>
    </row>
    <row r="29" spans="1:9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t="str">
        <f t="shared" si="0"/>
        <v>16</v>
      </c>
      <c r="H29" t="str">
        <f t="shared" si="1"/>
        <v>ES</v>
      </c>
      <c r="I29" t="str">
        <f t="shared" si="2"/>
        <v>APR</v>
      </c>
    </row>
    <row r="30" spans="1:9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t="str">
        <f t="shared" si="0"/>
        <v>07</v>
      </c>
      <c r="H30" t="str">
        <f t="shared" si="1"/>
        <v>CA</v>
      </c>
      <c r="I30" t="str">
        <f t="shared" si="2"/>
        <v>MAR</v>
      </c>
    </row>
    <row r="31" spans="1:9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t="str">
        <f t="shared" si="0"/>
        <v>13</v>
      </c>
      <c r="H31" t="str">
        <f t="shared" si="1"/>
        <v>CA</v>
      </c>
      <c r="I31" t="str">
        <f t="shared" si="2"/>
        <v>APR</v>
      </c>
    </row>
    <row r="32" spans="1:9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t="str">
        <f t="shared" si="0"/>
        <v>24</v>
      </c>
      <c r="H32" t="str">
        <f t="shared" si="1"/>
        <v>CA</v>
      </c>
      <c r="I32" t="str">
        <f t="shared" si="2"/>
        <v>MAY</v>
      </c>
    </row>
    <row r="33" spans="1:9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t="str">
        <f t="shared" si="0"/>
        <v>02</v>
      </c>
      <c r="H33" t="str">
        <f t="shared" si="1"/>
        <v>CA</v>
      </c>
      <c r="I33" t="str">
        <f t="shared" si="2"/>
        <v>DEC</v>
      </c>
    </row>
    <row r="34" spans="1:9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t="str">
        <f t="shared" si="0"/>
        <v>17</v>
      </c>
      <c r="H34" t="str">
        <f t="shared" si="1"/>
        <v>IN</v>
      </c>
      <c r="I34" t="str">
        <f t="shared" si="2"/>
        <v>JUN</v>
      </c>
    </row>
    <row r="35" spans="1:9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t="str">
        <f t="shared" si="0"/>
        <v>09</v>
      </c>
      <c r="H35" t="str">
        <f t="shared" si="1"/>
        <v>FR</v>
      </c>
      <c r="I35" t="str">
        <f t="shared" si="2"/>
        <v>JUL</v>
      </c>
    </row>
    <row r="37" spans="1:9">
      <c r="A37" s="15" t="s">
        <v>114</v>
      </c>
      <c r="B37" s="16"/>
      <c r="C37" s="16"/>
      <c r="D37" s="17"/>
    </row>
    <row r="38" spans="1:9">
      <c r="A38" s="18"/>
      <c r="B38" s="19"/>
      <c r="C38" s="19"/>
      <c r="D38" s="20"/>
    </row>
    <row r="39" spans="1:9">
      <c r="A39" s="18" t="s">
        <v>117</v>
      </c>
      <c r="B39" s="19"/>
      <c r="C39" s="19"/>
      <c r="D39" s="20"/>
    </row>
    <row r="40" spans="1:9">
      <c r="A40" s="18" t="s">
        <v>118</v>
      </c>
      <c r="B40" s="19"/>
      <c r="C40" s="19"/>
      <c r="D40" s="20">
        <v>6240</v>
      </c>
    </row>
    <row r="41" spans="1:9">
      <c r="A41" s="18"/>
      <c r="B41" s="19"/>
      <c r="C41" s="19"/>
      <c r="D41" s="20"/>
    </row>
    <row r="42" spans="1:9">
      <c r="A42" s="18" t="s">
        <v>115</v>
      </c>
      <c r="B42" s="19"/>
      <c r="C42" s="19"/>
      <c r="D42" s="20"/>
    </row>
    <row r="43" spans="1:9">
      <c r="A43" s="21">
        <f>COUNTIF(D5:D38,"&lt;100")</f>
        <v>10</v>
      </c>
      <c r="B43" s="22" t="s">
        <v>116</v>
      </c>
      <c r="C43" s="22"/>
      <c r="D43" s="23"/>
    </row>
    <row r="44" spans="1:9">
      <c r="B44" s="14"/>
      <c r="C44" s="14"/>
    </row>
  </sheetData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5"/>
  <sheetViews>
    <sheetView workbookViewId="0">
      <selection activeCell="K5" sqref="K5"/>
    </sheetView>
  </sheetViews>
  <sheetFormatPr defaultRowHeight="15"/>
  <cols>
    <col min="1" max="1" width="14.140625" customWidth="1"/>
    <col min="2" max="2" width="14" customWidth="1"/>
    <col min="3" max="3" width="11.140625" customWidth="1"/>
    <col min="6" max="6" width="12" customWidth="1"/>
    <col min="8" max="8" width="17.4257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4" t="s">
        <v>119</v>
      </c>
      <c r="H1" s="24" t="s">
        <v>120</v>
      </c>
      <c r="I1" s="24" t="s">
        <v>121</v>
      </c>
    </row>
    <row r="2" spans="1:9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t="str">
        <f>LEFT(A2,2)</f>
        <v>28</v>
      </c>
      <c r="H2" t="str">
        <f>RIGHT(A2,2)</f>
        <v>US</v>
      </c>
      <c r="I2" t="str">
        <f>MID(A2,4,3)</f>
        <v>JAN</v>
      </c>
    </row>
    <row r="3" spans="1:9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t="str">
        <f t="shared" ref="G3:G35" si="0">LEFT(A3,2)</f>
        <v>15</v>
      </c>
      <c r="H3" t="str">
        <f t="shared" ref="H3:H35" si="1">RIGHT(A3,2)</f>
        <v>US</v>
      </c>
      <c r="I3" t="str">
        <f t="shared" ref="I3:I35" si="2">MID(A3,4,3)</f>
        <v>FEB</v>
      </c>
    </row>
    <row r="4" spans="1:9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t="str">
        <f t="shared" si="0"/>
        <v>03</v>
      </c>
      <c r="H4" t="str">
        <f t="shared" si="1"/>
        <v>US</v>
      </c>
      <c r="I4" t="str">
        <f t="shared" si="2"/>
        <v>MAR</v>
      </c>
    </row>
    <row r="5" spans="1:9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t="str">
        <f t="shared" si="0"/>
        <v>11</v>
      </c>
      <c r="H5" t="str">
        <f t="shared" si="1"/>
        <v>US</v>
      </c>
      <c r="I5" t="str">
        <f t="shared" si="2"/>
        <v>APR</v>
      </c>
    </row>
    <row r="6" spans="1:9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t="str">
        <f t="shared" si="0"/>
        <v>22</v>
      </c>
      <c r="H6" t="str">
        <f t="shared" si="1"/>
        <v>US</v>
      </c>
      <c r="I6" t="str">
        <f t="shared" si="2"/>
        <v>MAY</v>
      </c>
    </row>
    <row r="7" spans="1:9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t="str">
        <f t="shared" si="0"/>
        <v>07</v>
      </c>
      <c r="H7" t="str">
        <f t="shared" si="1"/>
        <v>UK</v>
      </c>
      <c r="I7" t="str">
        <f t="shared" si="2"/>
        <v>JUN</v>
      </c>
    </row>
    <row r="8" spans="1:9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t="str">
        <f t="shared" si="0"/>
        <v>19</v>
      </c>
      <c r="H8" t="str">
        <f t="shared" si="1"/>
        <v>UK</v>
      </c>
      <c r="I8" t="str">
        <f t="shared" si="2"/>
        <v>JUL</v>
      </c>
    </row>
    <row r="9" spans="1:9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t="str">
        <f t="shared" si="0"/>
        <v>23</v>
      </c>
      <c r="H9" t="str">
        <f t="shared" si="1"/>
        <v>UK</v>
      </c>
      <c r="I9" t="str">
        <f t="shared" si="2"/>
        <v>AUG</v>
      </c>
    </row>
    <row r="10" spans="1:9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t="str">
        <f t="shared" si="0"/>
        <v>05</v>
      </c>
      <c r="H10" t="str">
        <f t="shared" si="1"/>
        <v>UK</v>
      </c>
      <c r="I10" t="str">
        <f t="shared" si="2"/>
        <v>SEP</v>
      </c>
    </row>
    <row r="11" spans="1:9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t="str">
        <f t="shared" si="0"/>
        <v>14</v>
      </c>
      <c r="H11" t="str">
        <f t="shared" si="1"/>
        <v>UK</v>
      </c>
      <c r="I11" t="str">
        <f t="shared" si="2"/>
        <v>OCT</v>
      </c>
    </row>
    <row r="12" spans="1:9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t="str">
        <f t="shared" si="0"/>
        <v>17</v>
      </c>
      <c r="H12" t="str">
        <f t="shared" si="1"/>
        <v>IN</v>
      </c>
      <c r="I12" t="str">
        <f t="shared" si="2"/>
        <v>JUN</v>
      </c>
    </row>
    <row r="13" spans="1:9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t="str">
        <f t="shared" si="0"/>
        <v>25</v>
      </c>
      <c r="H13" t="str">
        <f t="shared" si="1"/>
        <v>AU</v>
      </c>
      <c r="I13" t="str">
        <f t="shared" si="2"/>
        <v>NOV</v>
      </c>
    </row>
    <row r="14" spans="1:9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t="str">
        <f t="shared" si="0"/>
        <v>08</v>
      </c>
      <c r="H14" t="str">
        <f t="shared" si="1"/>
        <v>DE</v>
      </c>
      <c r="I14" t="str">
        <f t="shared" si="2"/>
        <v>DEC</v>
      </c>
    </row>
    <row r="15" spans="1:9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t="str">
        <f t="shared" si="0"/>
        <v>18</v>
      </c>
      <c r="H15" t="str">
        <f t="shared" si="1"/>
        <v>CA</v>
      </c>
      <c r="I15" t="str">
        <f t="shared" si="2"/>
        <v>FEB</v>
      </c>
    </row>
    <row r="16" spans="1:9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t="str">
        <f t="shared" si="0"/>
        <v>16</v>
      </c>
      <c r="H16" t="str">
        <f t="shared" si="1"/>
        <v>ES</v>
      </c>
      <c r="I16" t="str">
        <f t="shared" si="2"/>
        <v>APR</v>
      </c>
    </row>
    <row r="17" spans="1:9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t="str">
        <f t="shared" si="0"/>
        <v>21</v>
      </c>
      <c r="H17" t="str">
        <f t="shared" si="1"/>
        <v>CA</v>
      </c>
      <c r="I17" t="str">
        <f t="shared" si="2"/>
        <v>AUG</v>
      </c>
    </row>
    <row r="18" spans="1:9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t="str">
        <f t="shared" si="0"/>
        <v>20</v>
      </c>
      <c r="H18" t="str">
        <f t="shared" si="1"/>
        <v>CN</v>
      </c>
      <c r="I18" t="str">
        <f t="shared" si="2"/>
        <v>AUG</v>
      </c>
    </row>
    <row r="19" spans="1:9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t="str">
        <f t="shared" si="0"/>
        <v>27</v>
      </c>
      <c r="H19" t="str">
        <f t="shared" si="1"/>
        <v>IT</v>
      </c>
      <c r="I19" t="str">
        <f t="shared" si="2"/>
        <v>JAN</v>
      </c>
    </row>
    <row r="20" spans="1:9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t="str">
        <f t="shared" si="0"/>
        <v>01</v>
      </c>
      <c r="H20" t="str">
        <f t="shared" si="1"/>
        <v>UK</v>
      </c>
      <c r="I20" t="str">
        <f t="shared" si="2"/>
        <v>MAR</v>
      </c>
    </row>
    <row r="21" spans="1:9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t="str">
        <f t="shared" si="0"/>
        <v>14</v>
      </c>
      <c r="H21" t="str">
        <f t="shared" si="1"/>
        <v>US</v>
      </c>
      <c r="I21" t="str">
        <f t="shared" si="2"/>
        <v>AUG</v>
      </c>
    </row>
    <row r="22" spans="1:9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t="str">
        <f t="shared" si="0"/>
        <v>14</v>
      </c>
      <c r="H22" t="str">
        <f t="shared" si="1"/>
        <v>RU</v>
      </c>
      <c r="I22" t="str">
        <f t="shared" si="2"/>
        <v>MAY</v>
      </c>
    </row>
    <row r="23" spans="1:9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t="str">
        <f t="shared" si="0"/>
        <v>09</v>
      </c>
      <c r="H23" t="str">
        <f t="shared" si="1"/>
        <v>CA</v>
      </c>
      <c r="I23" t="str">
        <f t="shared" si="2"/>
        <v>JAN</v>
      </c>
    </row>
    <row r="24" spans="1:9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t="str">
        <f t="shared" si="0"/>
        <v>19</v>
      </c>
      <c r="H24" t="str">
        <f t="shared" si="1"/>
        <v>BR</v>
      </c>
      <c r="I24" t="str">
        <f t="shared" si="2"/>
        <v>JUL</v>
      </c>
    </row>
    <row r="25" spans="1:9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t="str">
        <f t="shared" si="0"/>
        <v>21</v>
      </c>
      <c r="H25" t="str">
        <f t="shared" si="1"/>
        <v>CA</v>
      </c>
      <c r="I25" t="str">
        <f t="shared" si="2"/>
        <v>AUG</v>
      </c>
    </row>
    <row r="26" spans="1:9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t="str">
        <f t="shared" si="0"/>
        <v>29</v>
      </c>
      <c r="H26" t="str">
        <f t="shared" si="1"/>
        <v>CA</v>
      </c>
      <c r="I26" t="str">
        <f t="shared" si="2"/>
        <v>SEP</v>
      </c>
    </row>
    <row r="27" spans="1:9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t="str">
        <f t="shared" si="0"/>
        <v>03</v>
      </c>
      <c r="H27" t="str">
        <f t="shared" si="1"/>
        <v>CA</v>
      </c>
      <c r="I27" t="str">
        <f t="shared" si="2"/>
        <v>JUN</v>
      </c>
    </row>
    <row r="28" spans="1:9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t="str">
        <f t="shared" si="0"/>
        <v>11</v>
      </c>
      <c r="H28" t="str">
        <f t="shared" si="1"/>
        <v>CA</v>
      </c>
      <c r="I28" t="str">
        <f t="shared" si="2"/>
        <v>JUL</v>
      </c>
    </row>
    <row r="29" spans="1:9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t="str">
        <f t="shared" si="0"/>
        <v>16</v>
      </c>
      <c r="H29" t="str">
        <f t="shared" si="1"/>
        <v>ES</v>
      </c>
      <c r="I29" t="str">
        <f t="shared" si="2"/>
        <v>APR</v>
      </c>
    </row>
    <row r="30" spans="1:9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t="str">
        <f t="shared" si="0"/>
        <v>07</v>
      </c>
      <c r="H30" t="str">
        <f t="shared" si="1"/>
        <v>CA</v>
      </c>
      <c r="I30" t="str">
        <f t="shared" si="2"/>
        <v>MAR</v>
      </c>
    </row>
    <row r="31" spans="1:9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t="str">
        <f t="shared" si="0"/>
        <v>13</v>
      </c>
      <c r="H31" t="str">
        <f t="shared" si="1"/>
        <v>CA</v>
      </c>
      <c r="I31" t="str">
        <f t="shared" si="2"/>
        <v>APR</v>
      </c>
    </row>
    <row r="32" spans="1:9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t="str">
        <f t="shared" si="0"/>
        <v>24</v>
      </c>
      <c r="H32" t="str">
        <f t="shared" si="1"/>
        <v>CA</v>
      </c>
      <c r="I32" t="str">
        <f t="shared" si="2"/>
        <v>MAY</v>
      </c>
    </row>
    <row r="33" spans="1:9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t="str">
        <f t="shared" si="0"/>
        <v>02</v>
      </c>
      <c r="H33" t="str">
        <f t="shared" si="1"/>
        <v>CA</v>
      </c>
      <c r="I33" t="str">
        <f t="shared" si="2"/>
        <v>DEC</v>
      </c>
    </row>
    <row r="34" spans="1:9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t="str">
        <f t="shared" si="0"/>
        <v>17</v>
      </c>
      <c r="H34" t="str">
        <f t="shared" si="1"/>
        <v>IN</v>
      </c>
      <c r="I34" t="str">
        <f t="shared" si="2"/>
        <v>JUN</v>
      </c>
    </row>
    <row r="35" spans="1:9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t="str">
        <f t="shared" si="0"/>
        <v>09</v>
      </c>
      <c r="H35" t="str">
        <f t="shared" si="1"/>
        <v>FR</v>
      </c>
      <c r="I35" t="str">
        <f t="shared" si="2"/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 COUNT AVG</vt:lpstr>
      <vt:lpstr>MIN&amp;MAX</vt:lpstr>
      <vt:lpstr>LOGICAL FUN</vt:lpstr>
      <vt:lpstr>CONDITIONAL FUN</vt:lpstr>
      <vt:lpstr>TXT FORMAT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2026-06-21T13:49:01Z</dcterms:created>
  <dcterms:modified xsi:type="dcterms:W3CDTF">2026-06-23T03:05:16Z</dcterms:modified>
</cp:coreProperties>
</file>